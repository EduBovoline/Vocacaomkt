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41751fbbdd4e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71f05f2a769a4292"/>
    <x:sheet xmlns:r="http://schemas.openxmlformats.org/officeDocument/2006/relationships" name="Registros" sheetId="2" r:id="R545744f178744b08"/>
    <x:sheet xmlns:r="http://schemas.openxmlformats.org/officeDocument/2006/relationships" name="Notas e fontes" sheetId="3" r:id="R9209a5ab0e4948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dd/mm/yyyy hh:mm:ss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52615B"/>
      <x:name val="Carlito"/>
    </x:font>
    <x:font>
      <x:b/>
      <x:sz val="10"/>
      <x:color rgb="FFFFFFFF"/>
      <x:name val="Carlito"/>
    </x:font>
    <x:font>
      <x:b/>
      <x:sz val="11"/>
      <x:name val="Carlito"/>
    </x:font>
    <x:font>
      <x:sz val="10"/>
      <x:name val="Carlito"/>
    </x:font>
    <x:font>
      <x:sz val="10"/>
      <x:color rgb="FF253C3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4F3E"/>
      </x:patternFill>
    </x:fill>
    <x:fill>
      <x:patternFill patternType="solid">
        <x:fgColor rgb="FFEDF5F0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1" xfId="0" applyNumberFormat="1" applyFont="1" applyFill="1" applyBorder="1"/>
    <x:xf numFmtId="200" fontId="4" fillId="3" borderId="0" xfId="0" applyNumberFormat="1" applyFont="1" applyFill="1" applyBorder="1"/>
    <x:xf numFmtId="200" fontId="4" fillId="3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200" fontId="4" fillId="4" borderId="0" xfId="0" applyNumberFormat="1" applyFont="1" applyFill="1" applyBorder="1"/>
    <x:xf numFmtId="200" fontId="4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201" fontId="4" fillId="3" borderId="0" xfId="0" applyNumberFormat="1" applyFont="1" applyFill="1" applyBorder="1"/>
    <x:xf numFmtId="201" fontId="4" fillId="3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202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202" fontId="5" fillId="0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202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202" fontId="5" fillId="3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19cd6f9072491b" /><Relationship Type="http://schemas.openxmlformats.org/officeDocument/2006/relationships/theme" Target="/xl/theme/theme1.xml" Id="Rc7610e6aae6f42ec" /><Relationship Type="http://schemas.openxmlformats.org/officeDocument/2006/relationships/sharedStrings" Target="/xl/sharedStrings.xml" Id="Racd7178180b04738" /><Relationship Type="http://schemas.openxmlformats.org/officeDocument/2006/relationships/worksheet" Target="/xl/worksheets/sheet1.xml" Id="R71f05f2a769a4292" /><Relationship Type="http://schemas.openxmlformats.org/officeDocument/2006/relationships/worksheet" Target="/xl/worksheets/sheet2.xml" Id="R545744f178744b08" /><Relationship Type="http://schemas.openxmlformats.org/officeDocument/2006/relationships/worksheet" Target="/xl/worksheets/sheet3.xml" Id="R9209a5ab0e49485c" /></Relationships>
</file>

<file path=xl/tables/table1.xml><?xml version="1.0" encoding="utf-8"?>
<x:table xmlns:x="http://schemas.openxmlformats.org/spreadsheetml/2006/main" id="1" name="InleadRegistros" displayName="InleadRegistros" ref="A5:M10" headerRowCount="1" totalsRowCount="0" totalsRowShown="0">
  <x:tableColumns count="13">
    <x:tableColumn id="1" name="ID interno"/>
    <x:tableColumn id="2" name="Data de criação"/>
    <x:tableColumn id="3" name="Experiência com cultivo"/>
    <x:tableColumn id="4" name="Sentimento indicado"/>
    <x:tableColumn id="5" name="Tempo disponível"/>
    <x:tableColumn id="6" name="Nome preenchido?"/>
    <x:tableColumn id="7" name="Botão 1"/>
    <x:tableColumn id="8" name="Botão 2"/>
    <x:tableColumn id="9" name="Botão 3"/>
    <x:tableColumn id="10" name="Botão 4"/>
    <x:tableColumn id="11" name="Botão 5"/>
    <x:tableColumn id="12" name="Botão 6"/>
    <x:tableColumn id="13" name="Botão 7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b4babb089347fb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3" customHeight="1">
      <x:c r="A1" s="4" t="str">
        <x:v>Inlead | registro histórico</x:v>
      </x:c>
      <x:c r="B1" s="4"/>
      <x:c r="C1" s="4"/>
      <x:c r="D1" s="4"/>
      <x:c r="E1" s="4"/>
      <x:c r="F1" s="4"/>
      <x:c r="G1" s="4"/>
      <x:c r="H1" s="4"/>
    </x:row>
    <x:row r="2" ht="23" customHeight="1">
      <x:c r="A2" s="4"/>
      <x:c r="B2" s="4"/>
      <x:c r="C2" s="4"/>
      <x:c r="D2" s="4"/>
      <x:c r="E2" s="4"/>
      <x:c r="F2" s="4"/>
      <x:c r="G2" s="4"/>
      <x:c r="H2" s="4"/>
    </x:row>
    <x:row r="3" ht="33" customHeight="1">
      <x:c r="A3" s="10" t="str">
        <x:v>Plataforma anterior, fora do escopo da nova abordagem | Não usar os dados como média mensal de visitantes únicos</x:v>
      </x:c>
      <x:c r="B3" s="10"/>
      <x:c r="C3" s="10"/>
      <x:c r="D3" s="10"/>
      <x:c r="E3" s="10"/>
      <x:c r="F3" s="10"/>
      <x:c r="G3" s="10"/>
      <x:c r="H3" s="10"/>
    </x:row>
    <x:row r="5" ht="32" customHeight="1">
      <x:c r="A5" s="16" t="str">
        <x:v>INDICADOR / SITUAÇÃO</x:v>
      </x:c>
      <x:c r="B5" s="16"/>
      <x:c r="C5" s="16"/>
      <x:c r="D5" s="16"/>
      <x:c r="E5" s="16"/>
      <x:c r="F5" s="16"/>
      <x:c r="G5" s="16" t="str">
        <x:v>VALOR EXIBIDO</x:v>
      </x:c>
      <x:c r="H5" s="16"/>
    </x:row>
    <x:row r="6" ht="30" customHeight="1">
      <x:c r="A6" s="22" t="str">
        <x:v>Visitas e acessos exibidos antes do reset</x:v>
      </x:c>
      <x:c r="B6" s="22"/>
      <x:c r="C6" s="22"/>
      <x:c r="D6" s="22"/>
      <x:c r="E6" s="22"/>
      <x:c r="F6" s="22"/>
      <x:c r="G6" s="26" t="n">
        <x:v>435</x:v>
      </x:c>
      <x:c r="H6" s="26"/>
    </x:row>
    <x:row r="7" ht="30" customHeight="1">
      <x:c r="A7" s="28" t="str">
        <x:v>Registros na exportação de leads</x:v>
      </x:c>
      <x:c r="B7" s="28"/>
      <x:c r="C7" s="28"/>
      <x:c r="D7" s="28"/>
      <x:c r="E7" s="28"/>
      <x:c r="F7" s="28"/>
      <x:c r="G7" s="32" t="n">
        <x:f>COUNTA(Registros!A6:A10)</x:f>
        <x:v>5</x:v>
      </x:c>
      <x:c r="H7" s="32"/>
    </x:row>
    <x:row r="8" ht="30" customHeight="1">
      <x:c r="A8" s="22" t="str">
        <x:v>Taxa de interação exibida no painel antigo</x:v>
      </x:c>
      <x:c r="B8" s="22"/>
      <x:c r="C8" s="22"/>
      <x:c r="D8" s="22"/>
      <x:c r="E8" s="22"/>
      <x:c r="F8" s="22"/>
      <x:c r="G8" s="38" t="n">
        <x:v>0.011</x:v>
      </x:c>
      <x:c r="H8" s="38"/>
    </x:row>
    <x:row r="9" ht="30" customHeight="1">
      <x:c r="A9" s="28" t="str">
        <x:v>Leads qualificados exibidos</x:v>
      </x:c>
      <x:c r="B9" s="28"/>
      <x:c r="C9" s="28"/>
      <x:c r="D9" s="28"/>
      <x:c r="E9" s="28"/>
      <x:c r="F9" s="28"/>
      <x:c r="G9" s="32" t="n">
        <x:v>4</x:v>
      </x:c>
      <x:c r="H9" s="32"/>
    </x:row>
    <x:row r="10" ht="30" customHeight="1">
      <x:c r="A10" s="22" t="str">
        <x:v>Fluxos completos exibidos</x:v>
      </x:c>
      <x:c r="B10" s="22"/>
      <x:c r="C10" s="22"/>
      <x:c r="D10" s="22"/>
      <x:c r="E10" s="22"/>
      <x:c r="F10" s="22"/>
      <x:c r="G10" s="26" t="n">
        <x:v>4</x:v>
      </x:c>
      <x:c r="H10" s="26"/>
    </x:row>
    <x:row r="11" ht="30" customHeight="1">
      <x:c r="A11" s="28" t="str">
        <x:v>Registros em setembro de 2026</x:v>
      </x:c>
      <x:c r="B11" s="28"/>
      <x:c r="C11" s="28"/>
      <x:c r="D11" s="28"/>
      <x:c r="E11" s="28"/>
      <x:c r="F11" s="28"/>
      <x:c r="G11" s="32" t="n">
        <x:f>COUNTIFS(Registros!B6:B10,"&gt;="&amp;DATE(2026,9,1),Registros!B6:B10,"&lt;"&amp;DATE(2026,10,1))</x:f>
        <x:v>3</x:v>
      </x:c>
      <x:c r="H11" s="32"/>
    </x:row>
    <x:row r="14" ht="19" customHeight="1">
      <x:c r="A14" s="9" t="str">
        <x:v>Visitantes únicos por semana/mês: NÃO APURADOS. O número 435 não tem período nem regra de unicidade confirmados.</x:v>
      </x:c>
      <x:c r="B14" s="9"/>
      <x:c r="C14" s="9"/>
      <x:c r="D14" s="9"/>
      <x:c r="E14" s="9"/>
      <x:c r="F14" s="9"/>
      <x:c r="G14" s="9"/>
      <x:c r="H14" s="9"/>
    </x:row>
    <x:row r="15" ht="19" customHeight="1">
      <x:c r="A15" s="9"/>
      <x:c r="B15" s="9"/>
      <x:c r="C15" s="9"/>
      <x:c r="D15" s="9"/>
      <x:c r="E15" s="9"/>
      <x:c r="F15" s="9"/>
      <x:c r="G15" s="9"/>
      <x:c r="H15" s="9"/>
    </x:row>
    <x:row r="16" ht="19" customHeight="1">
      <x:c r="A16" s="9" t="str">
        <x:v>Os cartões permaneceram iguais nos filtros de 7 e 30 dias, enquanto a lista de respostas mudou.</x:v>
      </x:c>
      <x:c r="B16" s="9"/>
      <x:c r="C16" s="9"/>
      <x:c r="D16" s="9"/>
      <x:c r="E16" s="9"/>
      <x:c r="F16" s="9"/>
      <x:c r="G16" s="9"/>
      <x:c r="H16" s="9"/>
    </x:row>
    <x:row r="17" ht="19" customHeight="1">
      <x:c r="A17" s="9"/>
      <x:c r="B17" s="9"/>
      <x:c r="C17" s="9"/>
      <x:c r="D17" s="9"/>
      <x:c r="E17" s="9"/>
      <x:c r="F17" s="9"/>
      <x:c r="G17" s="9"/>
      <x:c r="H17" s="9"/>
    </x:row>
    <x:row r="18" ht="19" customHeight="1">
      <x:c r="A18" s="9" t="str">
        <x:v>Em 28/09/2026, o usuário realizou o reset orientado pelo suporte para liberar os novos painéis.</x:v>
      </x:c>
      <x:c r="B18" s="9"/>
      <x:c r="C18" s="9"/>
      <x:c r="D18" s="9"/>
      <x:c r="E18" s="9"/>
      <x:c r="F18" s="9"/>
      <x:c r="G18" s="9"/>
      <x:c r="H18" s="9"/>
    </x:row>
    <x:row r="19" ht="19" customHeight="1">
      <x:c r="A19" s="9"/>
      <x:c r="B19" s="9"/>
      <x:c r="C19" s="9"/>
      <x:c r="D19" s="9"/>
      <x:c r="E19" s="9"/>
      <x:c r="F19" s="9"/>
      <x:c r="G19" s="9"/>
      <x:c r="H19" s="9"/>
    </x:row>
    <x:row r="20" ht="19" customHeight="1">
      <x:c r="A20" s="9" t="str">
        <x:v>Depois do reset, Performance apresentou 'Sem dados nesse período' em 24 horas e 30 dias. Isso não comprova zero visitantes.</x:v>
      </x:c>
      <x:c r="B20" s="9"/>
      <x:c r="C20" s="9"/>
      <x:c r="D20" s="9"/>
      <x:c r="E20" s="9"/>
      <x:c r="F20" s="9"/>
      <x:c r="G20" s="9"/>
      <x:c r="H20" s="9"/>
    </x:row>
    <x:row r="21" ht="19" customHeight="1">
      <x:c r="A21" s="9"/>
      <x:c r="B21" s="9"/>
      <x:c r="C21" s="9"/>
      <x:c r="D21" s="9"/>
      <x:c r="E21" s="9"/>
      <x:c r="F21" s="9"/>
      <x:c r="G21" s="9"/>
      <x:c r="H21" s="9"/>
    </x:row>
    <x:row r="22" ht="19" customHeight="1">
      <x:c r="A22" s="9" t="str">
        <x:v>O histórico fica documentado aqui e nos prints. Não há confirmação de migração ou restauração no painel novo.</x:v>
      </x:c>
      <x:c r="B22" s="9"/>
      <x:c r="C22" s="9"/>
      <x:c r="D22" s="9"/>
      <x:c r="E22" s="9"/>
      <x:c r="F22" s="9"/>
      <x:c r="G22" s="9"/>
      <x:c r="H22" s="9"/>
    </x:row>
    <x:row r="23" ht="19" customHeight="1">
      <x:c r="A23" s="9"/>
      <x:c r="B23" s="9"/>
      <x:c r="C23" s="9"/>
      <x:c r="D23" s="9"/>
      <x:c r="E23" s="9"/>
      <x:c r="F23" s="9"/>
      <x:c r="G23" s="9"/>
      <x:c r="H23" s="9"/>
    </x:row>
    <x:row r="24" ht="19" customHeight="1">
      <x:c r="A24" s="9" t="str">
        <x:v>Cinco registros de interação não equivalem a cinco visitantes únicos. Fluxo completo não equivale a compra paga.</x:v>
      </x:c>
      <x:c r="B24" s="9"/>
      <x:c r="C24" s="9"/>
      <x:c r="D24" s="9"/>
      <x:c r="E24" s="9"/>
      <x:c r="F24" s="9"/>
      <x:c r="G24" s="9"/>
      <x:c r="H24" s="9"/>
    </x:row>
    <x:row r="25" ht="19" customHeight="1">
      <x:c r="A25" s="9"/>
      <x:c r="B25" s="9"/>
      <x:c r="C25" s="9"/>
      <x:c r="D25" s="9"/>
      <x:c r="E25" s="9"/>
      <x:c r="F25" s="9"/>
      <x:c r="G25" s="9"/>
      <x:c r="H25" s="9"/>
    </x:row>
    <x:row r="26" ht="19" customHeight="1">
      <x:c r="A26" s="9" t="str">
        <x:v>O Inlead não será usado na nova abordagem, conforme decisão informada pelo responsável pelo projeto.</x:v>
      </x:c>
      <x:c r="B26" s="9"/>
      <x:c r="C26" s="9"/>
      <x:c r="D26" s="9"/>
      <x:c r="E26" s="9"/>
      <x:c r="F26" s="9"/>
      <x:c r="G26" s="9"/>
      <x:c r="H26" s="9"/>
    </x:row>
    <x:row r="27" ht="19" customHeight="1">
      <x:c r="A27" s="9"/>
      <x:c r="B27" s="9"/>
      <x:c r="C27" s="9"/>
      <x:c r="D27" s="9"/>
      <x:c r="E27" s="9"/>
      <x:c r="F27" s="9"/>
      <x:c r="G27" s="9"/>
      <x:c r="H27" s="9"/>
    </x:row>
    <x:row r="28" ht="19" customHeight="1">
      <x:c r="A28" s="9" t="str">
        <x:v>Fonte: CSV de leads exportado em 28/09/2026 e prints antes/depois do reset. Não foi calculada taxa de abandono de checkout.</x:v>
      </x:c>
      <x:c r="B28" s="9"/>
      <x:c r="C28" s="9"/>
      <x:c r="D28" s="9"/>
      <x:c r="E28" s="9"/>
      <x:c r="F28" s="9"/>
      <x:c r="G28" s="9"/>
      <x:c r="H28" s="9"/>
    </x:row>
    <x:row r="29" ht="19" customHeight="1">
      <x:c r="A29" s="9"/>
      <x:c r="B29" s="9"/>
      <x:c r="C29" s="9"/>
      <x:c r="D29" s="9"/>
      <x:c r="E29" s="9"/>
      <x:c r="F29" s="9"/>
      <x:c r="G29" s="9"/>
      <x:c r="H29" s="9"/>
    </x:row>
  </x:sheetData>
  <x:mergeCells>
    <x:mergeCell ref="A1:H2"/>
    <x:mergeCell ref="A3:H3"/>
    <x:mergeCell ref="A5:F5"/>
    <x:mergeCell ref="G5:H5"/>
    <x:mergeCell ref="A6:F6"/>
    <x:mergeCell ref="G6:H6"/>
    <x:mergeCell ref="A7:F7"/>
    <x:mergeCell ref="G7:H7"/>
    <x:mergeCell ref="A8:F8"/>
    <x:mergeCell ref="G8:H8"/>
    <x:mergeCell ref="A9:F9"/>
    <x:mergeCell ref="G9:H9"/>
    <x:mergeCell ref="A10:F10"/>
    <x:mergeCell ref="G10:H10"/>
    <x:mergeCell ref="A11:F11"/>
    <x:mergeCell ref="G11:H11"/>
    <x:mergeCell ref="A14:H15"/>
    <x:mergeCell ref="A16:H17"/>
    <x:mergeCell ref="A18:H19"/>
    <x:mergeCell ref="A20:H21"/>
    <x:mergeCell ref="A22:H23"/>
    <x:mergeCell ref="A24:H25"/>
    <x:mergeCell ref="A26:H27"/>
    <x:mergeCell ref="A28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38" hidden="0" customWidth="1"/>
    <x:col min="4" max="4" width="20" hidden="0" customWidth="1"/>
    <x:col min="5" max="5" width="21" hidden="0" customWidth="1"/>
    <x:col min="6" max="6" width="19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23" customHeight="1">
      <x:c r="A1" s="4" t="str">
        <x:v>Registros de interação | exportação histórica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3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 ht="33" customHeight="1">
      <x:c r="A3" s="10" t="str">
        <x:v>Dados pessoais e rastreamento excluídos. Os rótulos de botões seguem a ordem das colunas no CSV original.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</x:row>
    <x:row r="5" ht="32" customHeight="1">
      <x:c r="A5" s="16" t="str">
        <x:v>ID interno</x:v>
      </x:c>
      <x:c r="B5" s="16" t="str">
        <x:v>Data de criação</x:v>
      </x:c>
      <x:c r="C5" s="16" t="str">
        <x:v>Experiência com cultivo</x:v>
      </x:c>
      <x:c r="D5" s="16" t="str">
        <x:v>Sentimento indicado</x:v>
      </x:c>
      <x:c r="E5" s="16" t="str">
        <x:v>Tempo disponível</x:v>
      </x:c>
      <x:c r="F5" s="16" t="str">
        <x:v>Nome preenchido?</x:v>
      </x:c>
      <x:c r="G5" s="16" t="str">
        <x:v>Botão 1</x:v>
      </x:c>
      <x:c r="H5" s="16" t="str">
        <x:v>Botão 2</x:v>
      </x:c>
      <x:c r="I5" s="16" t="str">
        <x:v>Botão 3</x:v>
      </x:c>
      <x:c r="J5" s="16" t="str">
        <x:v>Botão 4</x:v>
      </x:c>
      <x:c r="K5" s="16" t="str">
        <x:v>Botão 5</x:v>
      </x:c>
      <x:c r="L5" s="16" t="str">
        <x:v>Botão 6</x:v>
      </x:c>
      <x:c r="M5" s="16" t="str">
        <x:v>Botão 7</x:v>
      </x:c>
    </x:row>
    <x:row r="6" ht="50" customHeight="1">
      <x:c r="A6" s="54" t="str">
        <x:v>L01</x:v>
      </x:c>
      <x:c r="B6" s="55" t="n">
        <x:v>46170.61126157407</x:v>
      </x:c>
      <x:c r="C6" s="54" t="str">
        <x:v>Sim, mas desisti no meio</x:v>
      </x:c>
      <x:c r="D6" s="54"/>
      <x:c r="E6" s="54"/>
      <x:c r="F6" s="54" t="str">
        <x:v>Não</x:v>
      </x:c>
      <x:c r="G6" s="54" t="str">
        <x:v>Clicado</x:v>
      </x:c>
      <x:c r="H6" s="54" t="str">
        <x:v>Clicado</x:v>
      </x:c>
      <x:c r="I6" s="54"/>
      <x:c r="J6" s="54" t="str">
        <x:v>Clicado</x:v>
      </x:c>
      <x:c r="K6" s="54"/>
      <x:c r="L6" s="54"/>
      <x:c r="M6" s="54"/>
    </x:row>
    <x:row r="7" ht="50" customHeight="1">
      <x:c r="A7" s="46" t="str">
        <x:v>L02</x:v>
      </x:c>
      <x:c r="B7" s="47" t="n">
        <x:v>46174.8684375</x:v>
      </x:c>
      <x:c r="C7" s="46" t="str">
        <x:v>Tenho algumas, mas não sei cuidar direito</x:v>
      </x:c>
      <x:c r="D7" s="46" t="str">
        <x:v>Desânimo</x:v>
      </x:c>
      <x:c r="E7" s="46" t="str">
        <x:v>3 minutos</x:v>
      </x:c>
      <x:c r="F7" s="46" t="str">
        <x:v>Sim</x:v>
      </x:c>
      <x:c r="G7" s="46" t="str">
        <x:v>Clicado</x:v>
      </x:c>
      <x:c r="H7" s="46" t="str">
        <x:v>Clicado</x:v>
      </x:c>
      <x:c r="I7" s="46" t="str">
        <x:v>Clicado</x:v>
      </x:c>
      <x:c r="J7" s="46" t="str">
        <x:v>Clicado</x:v>
      </x:c>
      <x:c r="K7" s="46" t="str">
        <x:v>Clicado</x:v>
      </x:c>
      <x:c r="L7" s="46"/>
      <x:c r="M7" s="46" t="str">
        <x:v>Clicado</x:v>
      </x:c>
    </x:row>
    <x:row r="8" ht="50" customHeight="1">
      <x:c r="A8" s="54" t="str">
        <x:v>L03</x:v>
      </x:c>
      <x:c r="B8" s="55" t="n">
        <x:v>46281.484826388885</x:v>
      </x:c>
      <x:c r="C8" s="54" t="str">
        <x:v>Sim, mas desisti no meio</x:v>
      </x:c>
      <x:c r="D8" s="54" t="str">
        <x:v>Culpa</x:v>
      </x:c>
      <x:c r="E8" s="54" t="str">
        <x:v>3 minutos</x:v>
      </x:c>
      <x:c r="F8" s="54" t="str">
        <x:v>Sim</x:v>
      </x:c>
      <x:c r="G8" s="54" t="str">
        <x:v>Clicado</x:v>
      </x:c>
      <x:c r="H8" s="54" t="str">
        <x:v>Clicado</x:v>
      </x:c>
      <x:c r="I8" s="54" t="str">
        <x:v>Clicado</x:v>
      </x:c>
      <x:c r="J8" s="54" t="str">
        <x:v>Clicado</x:v>
      </x:c>
      <x:c r="K8" s="54" t="str">
        <x:v>Clicado</x:v>
      </x:c>
      <x:c r="L8" s="54" t="str">
        <x:v>Clicado</x:v>
      </x:c>
      <x:c r="M8" s="54"/>
    </x:row>
    <x:row r="9" ht="50" customHeight="1">
      <x:c r="A9" s="46" t="str">
        <x:v>L04</x:v>
      </x:c>
      <x:c r="B9" s="47" t="n">
        <x:v>46286.42215277778</x:v>
      </x:c>
      <x:c r="C9" s="46" t="str">
        <x:v>Tenho algumas, mas não sei cuidar direito</x:v>
      </x:c>
      <x:c r="D9" s="46" t="str">
        <x:v>Desânimo</x:v>
      </x:c>
      <x:c r="E9" s="46" t="str">
        <x:v>Depende do dia</x:v>
      </x:c>
      <x:c r="F9" s="46" t="str">
        <x:v>Sim</x:v>
      </x:c>
      <x:c r="G9" s="46" t="str">
        <x:v>Clicado</x:v>
      </x:c>
      <x:c r="H9" s="46" t="str">
        <x:v>Clicado</x:v>
      </x:c>
      <x:c r="I9" s="46" t="str">
        <x:v>Clicado</x:v>
      </x:c>
      <x:c r="J9" s="46" t="str">
        <x:v>Clicado</x:v>
      </x:c>
      <x:c r="K9" s="46" t="str">
        <x:v>Clicado</x:v>
      </x:c>
      <x:c r="L9" s="46"/>
      <x:c r="M9" s="46" t="str">
        <x:v>Clicado</x:v>
      </x:c>
    </x:row>
    <x:row r="10" ht="50" customHeight="1">
      <x:c r="A10" s="54" t="str">
        <x:v>L05</x:v>
      </x:c>
      <x:c r="B10" s="55" t="n">
        <x:v>46286.422268518516</x:v>
      </x:c>
      <x:c r="C10" s="54" t="str">
        <x:v>Já tentei, mas matei todas</x:v>
      </x:c>
      <x:c r="D10" s="54" t="str">
        <x:v>Frustração</x:v>
      </x:c>
      <x:c r="E10" s="54" t="str">
        <x:v>5 a 10 minutos</x:v>
      </x:c>
      <x:c r="F10" s="54" t="str">
        <x:v>Sim</x:v>
      </x:c>
      <x:c r="G10" s="54" t="str">
        <x:v>Clicado</x:v>
      </x:c>
      <x:c r="H10" s="54" t="str">
        <x:v>Clicado</x:v>
      </x:c>
      <x:c r="I10" s="54" t="str">
        <x:v>Clicado</x:v>
      </x:c>
      <x:c r="J10" s="54" t="str">
        <x:v>Clicado</x:v>
      </x:c>
      <x:c r="K10" s="54" t="str">
        <x:v>Clicado</x:v>
      </x:c>
      <x:c r="L10" s="54" t="str">
        <x:v>Clicado</x:v>
      </x:c>
      <x:c r="M10" s="54"/>
    </x:row>
  </x:sheetData>
  <x:mergeCells>
    <x:mergeCell ref="A1:M2"/>
    <x:mergeCell ref="A3:M3"/>
  </x:mergeCells>
  <x:pageMargins left="0.7" right="0.7" top="0.75" bottom="0.75" header="0.3" footer="0.3"/>
  <x:tableParts count="1">
    <x:tablePart xmlns:r="http://schemas.openxmlformats.org/officeDocument/2006/relationships" r:id="Ra0b4babb089347f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3" customHeight="1">
      <x:c r="A1" s="4" t="str">
        <x:v>Notas de leitura e fontes</x:v>
      </x:c>
      <x:c r="B1" s="4"/>
      <x:c r="C1" s="4"/>
      <x:c r="D1" s="4"/>
      <x:c r="E1" s="4"/>
      <x:c r="F1" s="4"/>
    </x:row>
    <x:row r="2" ht="23" customHeight="1">
      <x:c r="A2" s="4"/>
      <x:c r="B2" s="4"/>
      <x:c r="C2" s="4"/>
      <x:c r="D2" s="4"/>
      <x:c r="E2" s="4"/>
      <x:c r="F2" s="4"/>
    </x:row>
    <x:row r="3" ht="33" customHeight="1">
      <x:c r="A3" s="10" t="str">
        <x:v>Documento de apoio ao briefing | dados consultados em 28/09/2026</x:v>
      </x:c>
      <x:c r="B3" s="10"/>
      <x:c r="C3" s="10"/>
      <x:c r="D3" s="10"/>
      <x:c r="E3" s="10"/>
      <x:c r="F3" s="10"/>
    </x:row>
    <x:row r="5" ht="46" customHeight="1">
      <x:c r="A5" s="60" t="str">
        <x:v>Fonte: leads_7ervasquecuidam_RMyycu_1790619900238(2).csv | 5 registros de leads/interações.</x:v>
      </x:c>
      <x:c r="B5" s="60"/>
      <x:c r="C5" s="60"/>
      <x:c r="D5" s="60"/>
      <x:c r="E5" s="60"/>
      <x:c r="F5" s="60"/>
    </x:row>
    <x:row r="6" ht="46" customHeight="1">
      <x:c r="A6" s="66" t="str">
        <x:v>Fonte das métricas gerais: prints do Inlead, 28/09/2026, antes do reset. A informação de período e unicidade não foi esclarecida pelo painel antigo.</x:v>
      </x:c>
      <x:c r="B6" s="66"/>
      <x:c r="C6" s="66"/>
      <x:c r="D6" s="66"/>
      <x:c r="E6" s="66"/>
      <x:c r="F6" s="66"/>
    </x:row>
    <x:row r="7" ht="46" customHeight="1">
      <x:c r="A7" s="60" t="str">
        <x:v>As contagens de leads da exportação e o contador 435 são unidades diferentes. Não foi assumida a existência de 435 pessoas distintas.</x:v>
      </x:c>
      <x:c r="B7" s="60"/>
      <x:c r="C7" s="60"/>
      <x:c r="D7" s="60"/>
      <x:c r="E7" s="60"/>
      <x:c r="F7" s="60"/>
    </x:row>
    <x:row r="8" ht="46" customHeight="1">
      <x:c r="A8" s="66" t="str">
        <x:v>Os identificadores internos L01 a L05 não são os códigos do CSV original. Nome e rastreamento (IP, navegador e parâmetros de origem) foram removidos.</x:v>
      </x:c>
      <x:c r="B8" s="66"/>
      <x:c r="C8" s="66"/>
      <x:c r="D8" s="66"/>
      <x:c r="E8" s="66"/>
      <x:c r="F8" s="66"/>
    </x:row>
    <x:row r="9" ht="46" customHeight="1">
      <x:c r="A9" s="60" t="str">
        <x:v>As respostas do quiz foram mantidas apenas como referência de conteúdo. Não foi classificado nenhum registro como cliente ou prospect validado.</x:v>
      </x:c>
      <x:c r="B9" s="60"/>
      <x:c r="C9" s="60"/>
      <x:c r="D9" s="60"/>
      <x:c r="E9" s="60"/>
      <x:c r="F9" s="60"/>
    </x:row>
    <x:row r="10" ht="46" customHeight="1">
      <x:c r="A10" s="66" t="str">
        <x:v>O painel informa 4 fluxos completos no total. Os campos exportados não foram usados para atribuir conversão em venda a cada registro.</x:v>
      </x:c>
      <x:c r="B10" s="66"/>
      <x:c r="C10" s="66"/>
      <x:c r="D10" s="66"/>
      <x:c r="E10" s="66"/>
      <x:c r="F10" s="66"/>
    </x:row>
    <x:row r="11" ht="46" customHeight="1">
      <x:c r="A11" s="60" t="str">
        <x:v>As métricas não devem ser cruzadas com as vendas de fevereiro para construir taxa de conversão: períodos e unidades não foram conciliados.</x:v>
      </x:c>
      <x:c r="B11" s="60"/>
      <x:c r="C11" s="60"/>
      <x:c r="D11" s="60"/>
      <x:c r="E11" s="60"/>
      <x:c r="F11" s="60"/>
    </x:row>
    <x:row r="12" ht="46" customHeight="1">
      <x:c r="A12" s="66" t="str">
        <x:v>A atualização do painel foi orientada pelo suporte, com exportação, reset e novo login. Os prints posteriores estão no anexo 04.</x:v>
      </x:c>
      <x:c r="B12" s="66"/>
      <x:c r="C12" s="66"/>
      <x:c r="D12" s="66"/>
      <x:c r="E12" s="66"/>
      <x:c r="F12" s="66"/>
    </x:row>
    <x:row r="13" ht="46" customHeight="1">
      <x:c r="A13" s="60" t="str">
        <x:v>Uso futuro do Inlead descartado pelo responsável pelo projeto. Este material é histórico e não cria necessidade de novas tarefas na plataforma.</x:v>
      </x:c>
      <x:c r="B13" s="60"/>
      <x:c r="C13" s="60"/>
      <x:c r="D13" s="60"/>
      <x:c r="E13" s="60"/>
      <x:c r="F13" s="60"/>
    </x:row>
  </x:sheetData>
  <x:mergeCells>
    <x:mergeCell ref="A1:F2"/>
    <x:mergeCell ref="A3:F3"/>
    <x:mergeCell ref="A5:F5"/>
    <x:mergeCell ref="A6:F6"/>
    <x:mergeCell ref="A7:F7"/>
    <x:mergeCell ref="A8:F8"/>
    <x:mergeCell ref="A9:F9"/>
    <x:mergeCell ref="A10:F10"/>
    <x:mergeCell ref="A11:F11"/>
    <x:mergeCell ref="A12:F12"/>
    <x:mergeCell ref="A13:F13"/>
  </x:mergeCells>
  <x:pageMargins left="0.7" right="0.7" top="0.75" bottom="0.75" header="0.3" footer="0.3"/>
</x:worksheet>
</file>