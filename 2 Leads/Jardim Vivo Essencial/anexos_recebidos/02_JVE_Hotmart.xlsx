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881484298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70a024811184665"/>
    <x:sheet xmlns:r="http://schemas.openxmlformats.org/officeDocument/2006/relationships" name="Pedidos" sheetId="2" r:id="R6f61116facf64809"/>
    <x:sheet xmlns:r="http://schemas.openxmlformats.org/officeDocument/2006/relationships" name="Transacoes" sheetId="3" r:id="R9ccaf3ff46a941ca"/>
    <x:sheet xmlns:r="http://schemas.openxmlformats.org/officeDocument/2006/relationships" name="Notas e fontes" sheetId="4" r:id="Rbbd200048acf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R$&quot; #,##0.00"/>
    <x:numFmt numFmtId="202" formatCode="dd/mm/yyyy hh:mm:ss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52615B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sz val="10"/>
      <x:name val="Carlito"/>
    </x:font>
    <x:font>
      <x:sz val="10"/>
      <x:color rgb="FF253C3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F3E"/>
      </x:patternFill>
    </x:fill>
    <x:fill>
      <x:patternFill patternType="solid">
        <x:fgColor rgb="FFEDF5F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202" fontId="5" fillId="3" borderId="1" xfId="0" applyNumberFormat="1" applyFont="1" applyFill="1" applyBorder="1" applyAlignment="1">
      <x:alignment vertical="center" wrapText="1"/>
    </x:xf>
    <x:xf numFmtId="201" fontId="5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f77939e4f4da5" /><Relationship Type="http://schemas.openxmlformats.org/officeDocument/2006/relationships/theme" Target="/xl/theme/theme1.xml" Id="R4c14cf8043c04f1a" /><Relationship Type="http://schemas.openxmlformats.org/officeDocument/2006/relationships/sharedStrings" Target="/xl/sharedStrings.xml" Id="Rd40e4a1fca8b4c76" /><Relationship Type="http://schemas.openxmlformats.org/officeDocument/2006/relationships/worksheet" Target="/xl/worksheets/sheet1.xml" Id="R770a024811184665" /><Relationship Type="http://schemas.openxmlformats.org/officeDocument/2006/relationships/worksheet" Target="/xl/worksheets/sheet2.xml" Id="R6f61116facf64809" /><Relationship Type="http://schemas.openxmlformats.org/officeDocument/2006/relationships/worksheet" Target="/xl/worksheets/sheet3.xml" Id="R9ccaf3ff46a941ca" /><Relationship Type="http://schemas.openxmlformats.org/officeDocument/2006/relationships/worksheet" Target="/xl/worksheets/sheet4.xml" Id="Rbbd200048acf4189" /></Relationships>
</file>

<file path=xl/tables/table1.xml><?xml version="1.0" encoding="utf-8"?>
<x:table xmlns:x="http://schemas.openxmlformats.org/spreadsheetml/2006/main" id="2" name="HotmartPedidos" displayName="HotmartPedidos" ref="A5:I8" headerRowCount="1" totalsRowCount="0" totalsRowShown="0">
  <x:tableColumns count="9">
    <x:tableColumn id="1" name="Pedido interno"/>
    <x:tableColumn id="2" name="Data inicial"/>
    <x:tableColumn id="3" name="Classificação"/>
    <x:tableColumn id="4" name="Status"/>
    <x:tableColumn id="5" name="Pagamento"/>
    <x:tableColumn id="6" name="Itens"/>
    <x:tableColumn id="7" name="Valor bruto do pedido"/>
    <x:tableColumn id="8" name="Bruto confirmado"/>
    <x:tableColumn id="9" name="Líquido confirm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HotmartTransacoes" displayName="HotmartTransacoes" ref="A5:M13" headerRowCount="1" totalsRowCount="0" totalsRowShown="0">
  <x:tableColumns count="13">
    <x:tableColumn id="1" name="ID interno"/>
    <x:tableColumn id="2" name="Pedido interno"/>
    <x:tableColumn id="3" name="Classificação"/>
    <x:tableColumn id="4" name="Data do pedido"/>
    <x:tableColumn id="5" name="Status"/>
    <x:tableColumn id="6" name="Pagamento"/>
    <x:tableColumn id="7" name="Produto"/>
    <x:tableColumn id="8" name="Valor bruto do item"/>
    <x:tableColumn id="9" name="Líquido informado no arquivo"/>
    <x:tableColumn id="10" name="Bruto confirmado"/>
    <x:tableColumn id="11" name="Líquido confirmado"/>
    <x:tableColumn id="12" name="Confirmação do pagamento"/>
    <x:tableColumn id="13" name="Papel no ped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b5e9c1352949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ddb36cf77e4a4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3" customHeight="1">
      <x:c r="A1" s="4" t="str">
        <x:v>Hotmart | histórico consolidado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33" customHeight="1">
      <x:c r="A3" s="10" t="str">
        <x:v>8 registros de produtos agrupados em 3 pedidos | Dados pessoais e identificadores originais removidos</x:v>
      </x:c>
      <x:c r="B3" s="10"/>
      <x:c r="C3" s="10"/>
      <x:c r="D3" s="10"/>
      <x:c r="E3" s="10"/>
      <x:c r="F3" s="10"/>
      <x:c r="G3" s="10"/>
      <x:c r="H3" s="10"/>
    </x:row>
    <x:row r="5" ht="32" customHeight="1">
      <x:c r="A5" s="16" t="str">
        <x:v>INDICADOR</x:v>
      </x:c>
      <x:c r="B5" s="16"/>
      <x:c r="C5" s="16"/>
      <x:c r="D5" s="16"/>
      <x:c r="E5" s="16"/>
      <x:c r="F5" s="16"/>
      <x:c r="G5" s="16" t="str">
        <x:v>RESULTADO</x:v>
      </x:c>
      <x:c r="H5" s="16"/>
    </x:row>
    <x:row r="6" ht="30" customHeight="1">
      <x:c r="A6" s="22" t="str">
        <x:v>Registros de transação no arquivo</x:v>
      </x:c>
      <x:c r="B6" s="22"/>
      <x:c r="C6" s="22"/>
      <x:c r="D6" s="22"/>
      <x:c r="E6" s="22"/>
      <x:c r="F6" s="22"/>
      <x:c r="G6" s="26" t="n">
        <x:f>COUNTA(Transacoes!A6:A13)</x:f>
        <x:v>8</x:v>
      </x:c>
      <x:c r="H6" s="26"/>
    </x:row>
    <x:row r="7" ht="30" customHeight="1">
      <x:c r="A7" s="28" t="str">
        <x:v>Transações completas (produtos)</x:v>
      </x:c>
      <x:c r="B7" s="28"/>
      <x:c r="C7" s="28"/>
      <x:c r="D7" s="28"/>
      <x:c r="E7" s="28"/>
      <x:c r="F7" s="28"/>
      <x:c r="G7" s="32" t="n">
        <x:f>COUNTIF(Transacoes!E6:E13,"Completo")</x:f>
        <x:v>5</x:v>
      </x:c>
      <x:c r="H7" s="32"/>
    </x:row>
    <x:row r="8" ht="30" customHeight="1">
      <x:c r="A8" s="22" t="str">
        <x:v>Transações expiradas (produtos)</x:v>
      </x:c>
      <x:c r="B8" s="22"/>
      <x:c r="C8" s="22"/>
      <x:c r="D8" s="22"/>
      <x:c r="E8" s="22"/>
      <x:c r="F8" s="22"/>
      <x:c r="G8" s="26" t="n">
        <x:f>COUNTIF(Transacoes!E6:E13,"Expirado")</x:f>
        <x:v>3</x:v>
      </x:c>
      <x:c r="H8" s="26"/>
    </x:row>
    <x:row r="9" ht="30" customHeight="1">
      <x:c r="A9" s="28" t="str">
        <x:v>Pedidos completos (inclui o produtor)</x:v>
      </x:c>
      <x:c r="B9" s="28"/>
      <x:c r="C9" s="28"/>
      <x:c r="D9" s="28"/>
      <x:c r="E9" s="28"/>
      <x:c r="F9" s="28"/>
      <x:c r="G9" s="32" t="n">
        <x:f>COUNTIF(Pedidos!D6:D8,"Completo")</x:f>
        <x:v>2</x:v>
      </x:c>
      <x:c r="H9" s="32"/>
    </x:row>
    <x:row r="10" ht="30" customHeight="1">
      <x:c r="A10" s="22" t="str">
        <x:v>Pedido completo em nome de outra compradora</x:v>
      </x:c>
      <x:c r="B10" s="22"/>
      <x:c r="C10" s="22"/>
      <x:c r="D10" s="22"/>
      <x:c r="E10" s="22"/>
      <x:c r="F10" s="22"/>
      <x:c r="G10" s="26" t="n">
        <x:f>COUNTIFS(Pedidos!C6:C8,"Compradora A",Pedidos!D6:D8,"Completo")</x:f>
        <x:v>1</x:v>
      </x:c>
      <x:c r="H10" s="26"/>
    </x:row>
    <x:row r="11" ht="30" customHeight="1">
      <x:c r="A11" s="28" t="str">
        <x:v>Pedido completo em nome do produtor</x:v>
      </x:c>
      <x:c r="B11" s="28"/>
      <x:c r="C11" s="28"/>
      <x:c r="D11" s="28"/>
      <x:c r="E11" s="28"/>
      <x:c r="F11" s="28"/>
      <x:c r="G11" s="32" t="n">
        <x:f>COUNTIFS(Pedidos!C6:C8,"Produtor",Pedidos!D6:D8,"Completo")</x:f>
        <x:v>1</x:v>
      </x:c>
      <x:c r="H11" s="32"/>
    </x:row>
    <x:row r="12" ht="30" customHeight="1">
      <x:c r="A12" s="22" t="str">
        <x:v>Pedidos via Pix expirados sem pagamento</x:v>
      </x:c>
      <x:c r="B12" s="22"/>
      <x:c r="C12" s="22"/>
      <x:c r="D12" s="22"/>
      <x:c r="E12" s="22"/>
      <x:c r="F12" s="22"/>
      <x:c r="G12" s="26" t="n">
        <x:f>COUNTIFS(Pedidos!D6:D8,"Expirado",Pedidos!E6:E8,"Pix")</x:f>
        <x:v>1</x:v>
      </x:c>
      <x:c r="H12" s="26"/>
    </x:row>
    <x:row r="13" ht="30" customHeight="1">
      <x:c r="A13" s="28" t="str">
        <x:v>Registros com forma de pagamento boleto</x:v>
      </x:c>
      <x:c r="B13" s="28"/>
      <x:c r="C13" s="28"/>
      <x:c r="D13" s="28"/>
      <x:c r="E13" s="28"/>
      <x:c r="F13" s="28"/>
      <x:c r="G13" s="32" t="n">
        <x:f>COUNTIF(Transacoes!F6:F13,"*Boleto*")</x:f>
        <x:v>0</x:v>
      </x:c>
      <x:c r="H13" s="32"/>
    </x:row>
    <x:row r="14" ht="30" customHeight="1">
      <x:c r="A14" s="22" t="str">
        <x:v>Bruto confirmado em nome de outra compradora</x:v>
      </x:c>
      <x:c r="B14" s="22"/>
      <x:c r="C14" s="22"/>
      <x:c r="D14" s="22"/>
      <x:c r="E14" s="22"/>
      <x:c r="F14" s="22"/>
      <x:c r="G14" s="38" t="n">
        <x:f>SUMIFS(Transacoes!J6:J13,Transacoes!C6:C13,"Compradora A")</x:f>
        <x:v>66.9</x:v>
      </x:c>
      <x:c r="H14" s="38"/>
    </x:row>
    <x:row r="15" ht="30" customHeight="1">
      <x:c r="A15" s="28" t="str">
        <x:v>Bruto confirmado em nome do produtor</x:v>
      </x:c>
      <x:c r="B15" s="28"/>
      <x:c r="C15" s="28"/>
      <x:c r="D15" s="28"/>
      <x:c r="E15" s="28"/>
      <x:c r="F15" s="28"/>
      <x:c r="G15" s="42" t="n">
        <x:f>SUMIFS(Transacoes!J6:J13,Transacoes!C6:C13,"Produtor")</x:f>
        <x:v>86.8</x:v>
      </x:c>
      <x:c r="H15" s="42"/>
    </x:row>
    <x:row r="16" ht="30" customHeight="1">
      <x:c r="A16" s="22" t="str">
        <x:v>Bruto confirmado total, incluindo produtor</x:v>
      </x:c>
      <x:c r="B16" s="22"/>
      <x:c r="C16" s="22"/>
      <x:c r="D16" s="22"/>
      <x:c r="E16" s="22"/>
      <x:c r="F16" s="22"/>
      <x:c r="G16" s="38" t="n">
        <x:f>SUM(Transacoes!J6:J13)</x:f>
        <x:v>153.70000000000002</x:v>
      </x:c>
      <x:c r="H16" s="38"/>
    </x:row>
    <x:row r="17" ht="30" customHeight="1">
      <x:c r="A17" s="28" t="str">
        <x:v>Líquido confirmado total, incluindo produtor</x:v>
      </x:c>
      <x:c r="B17" s="28"/>
      <x:c r="C17" s="28"/>
      <x:c r="D17" s="28"/>
      <x:c r="E17" s="28"/>
      <x:c r="F17" s="28"/>
      <x:c r="G17" s="42" t="n">
        <x:f>SUM(Transacoes!K6:K13)</x:f>
        <x:v>133.49</x:v>
      </x:c>
      <x:c r="H17" s="42"/>
    </x:row>
    <x:row r="18" ht="30" customHeight="1">
      <x:c r="A18" s="22" t="str">
        <x:v>Valor nominal do pedido Pix não pago</x:v>
      </x:c>
      <x:c r="B18" s="22"/>
      <x:c r="C18" s="22"/>
      <x:c r="D18" s="22"/>
      <x:c r="E18" s="22"/>
      <x:c r="F18" s="22"/>
      <x:c r="G18" s="38" t="n">
        <x:f>SUMIF(Pedidos!D6:D8,"Expirado",Pedidos!G6:G8)</x:f>
        <x:v>86.8</x:v>
      </x:c>
      <x:c r="H18" s="38"/>
    </x:row>
    <x:row r="21" ht="32" customHeight="1">
      <x:c r="A21" s="9" t="str">
        <x:v>Abandono de checkout: 1 registro exibido para o Guia das 7 Ervas nos últimos 24 meses.</x:v>
      </x:c>
      <x:c r="B21" s="9"/>
      <x:c r="C21" s="9"/>
      <x:c r="D21" s="9"/>
      <x:c r="E21" s="9"/>
      <x:c r="F21" s="9"/>
      <x:c r="G21" s="9"/>
      <x:c r="H21" s="9"/>
    </x:row>
    <x:row r="22" ht="32" customHeight="1">
      <x:c r="A22" s="9" t="str">
        <x:v>Mesmo cadastro da Compradora A: abandono em 18/02/2026 às 11h44 e pagamento confirmado às 11h46min10s.</x:v>
      </x:c>
      <x:c r="B22" s="9"/>
      <x:c r="C22" s="9"/>
      <x:c r="D22" s="9"/>
      <x:c r="E22" s="9"/>
      <x:c r="F22" s="9"/>
      <x:c r="G22" s="9"/>
      <x:c r="H22" s="9"/>
    </x:row>
    <x:row r="23" ht="32" customHeight="1">
      <x:c r="A23" s="9" t="str">
        <x:v>Não contabilizar esse registro automaticamente como venda definitivamente perdida.</x:v>
      </x:c>
      <x:c r="B23" s="9"/>
      <x:c r="C23" s="9"/>
      <x:c r="D23" s="9"/>
      <x:c r="E23" s="9"/>
      <x:c r="F23" s="9"/>
      <x:c r="G23" s="9"/>
      <x:c r="H23" s="9"/>
    </x:row>
    <x:row r="25" ht="32" customHeight="1">
      <x:c r="A25" s="9" t="str">
        <x:v>O pedido expirado de 22/02 pertence à Compradora B, diferente do registro de abandono acima.</x:v>
      </x:c>
      <x:c r="B25" s="9"/>
      <x:c r="C25" s="9"/>
      <x:c r="D25" s="9"/>
      <x:c r="E25" s="9"/>
      <x:c r="F25" s="9"/>
      <x:c r="G25" s="9"/>
      <x:c r="H25" s="9"/>
    </x:row>
    <x:row r="27" ht="32" customHeight="1">
      <x:c r="A27" s="9" t="str">
        <x:v>Fonte: exportação completa de vendas Hotmart de 28/09/2026 e prints do relatório de abandono.</x:v>
      </x:c>
      <x:c r="B27" s="9"/>
      <x:c r="C27" s="9"/>
      <x:c r="D27" s="9"/>
      <x:c r="E27" s="9"/>
      <x:c r="F27" s="9"/>
      <x:c r="G27" s="9"/>
      <x:c r="H27" s="9"/>
    </x:row>
    <x:row r="29" ht="32" customHeight="1">
      <x:c r="A29" s="9" t="str">
        <x:v>Escopo: resultados do arquivo recebido, não uma auditoria integral da conta. Não há taxa de conversão calculada.</x:v>
      </x:c>
      <x:c r="B29" s="9"/>
      <x:c r="C29" s="9"/>
      <x:c r="D29" s="9"/>
      <x:c r="E29" s="9"/>
      <x:c r="F29" s="9"/>
      <x:c r="G29" s="9"/>
      <x:c r="H29" s="9"/>
    </x:row>
  </x:sheetData>
  <x:mergeCells>
    <x:mergeCell ref="A1:H2"/>
    <x:mergeCell ref="A3:H3"/>
    <x:mergeCell ref="A5:F5"/>
    <x:mergeCell ref="G5:H5"/>
    <x:mergeCell ref="A6:F6"/>
    <x:mergeCell ref="G6:H6"/>
    <x:mergeCell ref="A7:F7"/>
    <x:mergeCell ref="G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5:F15"/>
    <x:mergeCell ref="G15:H15"/>
    <x:mergeCell ref="A16:F16"/>
    <x:mergeCell ref="G16:H16"/>
    <x:mergeCell ref="A17:F17"/>
    <x:mergeCell ref="G17:H17"/>
    <x:mergeCell ref="A18:F18"/>
    <x:mergeCell ref="G18:H18"/>
    <x:mergeCell ref="A21:H21"/>
    <x:mergeCell ref="A22:H22"/>
    <x:mergeCell ref="A23:H23"/>
    <x:mergeCell ref="A25:H25"/>
    <x:mergeCell ref="A27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9" hidden="0" customWidth="1"/>
    <x:col min="4" max="4" width="14" hidden="0" customWidth="1"/>
    <x:col min="5" max="5" width="22" hidden="0" customWidth="1"/>
    <x:col min="6" max="6" width="10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3" customHeight="1">
      <x:c r="A1" s="4" t="str">
        <x:v>Pedidos | principal e complementos agrupados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3" customHeight="1">
      <x:c r="A3" s="10" t="str">
        <x:v>O agrupamento usa o campo 'Transação do Produto Principal' do relatório, e não apenas a identidade do comprador.</x:v>
      </x:c>
      <x:c r="B3" s="10"/>
      <x:c r="C3" s="10"/>
      <x:c r="D3" s="10"/>
      <x:c r="E3" s="10"/>
      <x:c r="F3" s="10"/>
      <x:c r="G3" s="10"/>
      <x:c r="H3" s="10"/>
      <x:c r="I3" s="10"/>
    </x:row>
    <x:row r="5" ht="32" customHeight="1">
      <x:c r="A5" s="16" t="str">
        <x:v>Pedido interno</x:v>
      </x:c>
      <x:c r="B5" s="16" t="str">
        <x:v>Data inicial</x:v>
      </x:c>
      <x:c r="C5" s="16" t="str">
        <x:v>Classificação</x:v>
      </x:c>
      <x:c r="D5" s="16" t="str">
        <x:v>Status</x:v>
      </x:c>
      <x:c r="E5" s="16" t="str">
        <x:v>Pagamento</x:v>
      </x:c>
      <x:c r="F5" s="16" t="str">
        <x:v>Itens</x:v>
      </x:c>
      <x:c r="G5" s="16" t="str">
        <x:v>Valor bruto do pedido</x:v>
      </x:c>
      <x:c r="H5" s="16" t="str">
        <x:v>Bruto confirmado</x:v>
      </x:c>
      <x:c r="I5" s="16" t="str">
        <x:v>Líquido confirmado</x:v>
      </x:c>
    </x:row>
    <x:row r="6" ht="36" customHeight="1">
      <x:c r="A6" s="49" t="str">
        <x:v>P01</x:v>
      </x:c>
      <x:c r="B6" s="50" t="n">
        <x:v>46063.39577546297</x:v>
      </x:c>
      <x:c r="C6" s="49" t="str">
        <x:v>Produtor</x:v>
      </x:c>
      <x:c r="D6" s="49" t="str">
        <x:v>Completo</x:v>
      </x:c>
      <x:c r="E6" s="49" t="str">
        <x:v>Cartão de Crédito</x:v>
      </x:c>
      <x:c r="F6" s="49" t="n">
        <x:f>COUNTIF(Transacoes!$B$6:$B$13,A6)</x:f>
        <x:v>3</x:v>
      </x:c>
      <x:c r="G6" s="51" t="n">
        <x:f>SUMIF(Transacoes!$B$6:$B$13,A6,Transacoes!$H$6:$H$13)</x:f>
        <x:v>86.8</x:v>
      </x:c>
      <x:c r="H6" s="51" t="n">
        <x:f>SUMIF(Transacoes!$B$6:$B$13,A6,Transacoes!$J$6:$J$13)</x:f>
        <x:v>86.8</x:v>
      </x:c>
      <x:c r="I6" s="51" t="n">
        <x:f>SUMIF(Transacoes!$B$6:$B$13,A6,Transacoes!$K$6:$K$13)</x:f>
        <x:v>75.21000000000001</x:v>
      </x:c>
    </x:row>
    <x:row r="7" ht="36" customHeight="1">
      <x:c r="A7" s="49" t="str">
        <x:v>P02</x:v>
      </x:c>
      <x:c r="B7" s="50" t="n">
        <x:v>46071.488020833334</x:v>
      </x:c>
      <x:c r="C7" s="49" t="str">
        <x:v>Compradora A</x:v>
      </x:c>
      <x:c r="D7" s="49" t="str">
        <x:v>Completo</x:v>
      </x:c>
      <x:c r="E7" s="49" t="str">
        <x:v>Pix</x:v>
      </x:c>
      <x:c r="F7" s="49" t="n">
        <x:f>COUNTIF(Transacoes!$B$6:$B$13,A7)</x:f>
        <x:v>2</x:v>
      </x:c>
      <x:c r="G7" s="51" t="n">
        <x:f>SUMIF(Transacoes!$B$6:$B$13,A7,Transacoes!$H$6:$H$13)</x:f>
        <x:v>66.9</x:v>
      </x:c>
      <x:c r="H7" s="51" t="n">
        <x:f>SUMIF(Transacoes!$B$6:$B$13,A7,Transacoes!$J$6:$J$13)</x:f>
        <x:v>66.9</x:v>
      </x:c>
      <x:c r="I7" s="51" t="n">
        <x:f>SUMIF(Transacoes!$B$6:$B$13,A7,Transacoes!$K$6:$K$13)</x:f>
        <x:v>58.28</x:v>
      </x:c>
    </x:row>
    <x:row r="8" ht="36" customHeight="1">
      <x:c r="A8" s="49" t="str">
        <x:v>P03</x:v>
      </x:c>
      <x:c r="B8" s="50" t="n">
        <x:v>46075.74041666667</x:v>
      </x:c>
      <x:c r="C8" s="49" t="str">
        <x:v>Compradora B</x:v>
      </x:c>
      <x:c r="D8" s="49" t="str">
        <x:v>Expirado</x:v>
      </x:c>
      <x:c r="E8" s="49" t="str">
        <x:v>Pix</x:v>
      </x:c>
      <x:c r="F8" s="49" t="n">
        <x:f>COUNTIF(Transacoes!$B$6:$B$13,A8)</x:f>
        <x:v>3</x:v>
      </x:c>
      <x:c r="G8" s="51" t="n">
        <x:f>SUMIF(Transacoes!$B$6:$B$13,A8,Transacoes!$H$6:$H$13)</x:f>
        <x:v>86.8</x:v>
      </x:c>
      <x:c r="H8" s="51" t="n">
        <x:f>SUMIF(Transacoes!$B$6:$B$13,A8,Transacoes!$J$6:$J$13)</x:f>
        <x:v>0</x:v>
      </x:c>
      <x:c r="I8" s="51" t="n">
        <x:f>SUMIF(Transacoes!$B$6:$B$13,A8,Transacoes!$K$6:$K$13)</x:f>
        <x:v>0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6bb5e9c1352949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23" hidden="0" customWidth="1"/>
    <x:col min="5" max="5" width="13" hidden="0" customWidth="1"/>
    <x:col min="6" max="6" width="20" hidden="0" customWidth="1"/>
    <x:col min="7" max="7" width="44" hidden="0" customWidth="1"/>
    <x:col min="8" max="8" width="17" hidden="0" customWidth="1"/>
    <x:col min="9" max="9" width="19" hidden="0" customWidth="1"/>
    <x:col min="10" max="10" width="18" hidden="0" customWidth="1"/>
    <x:col min="11" max="11" width="18" hidden="0" customWidth="1"/>
    <x:col min="12" max="12" width="23" hidden="0" customWidth="1"/>
    <x:col min="13" max="13" width="24" hidden="0" customWidth="1"/>
  </x:cols>
  <x:sheetData>
    <x:row r="1" ht="23" customHeight="1">
      <x:c r="A1" s="4" t="str">
        <x:v>Transações | uma linha por produto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3" customHeight="1">
      <x:c r="A3" s="10" t="str">
        <x:v>Campos selecionados da exportação original. Valores pagos e valores de pedidos expirados estão separados.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2" customHeight="1">
      <x:c r="A5" s="16" t="str">
        <x:v>ID interno</x:v>
      </x:c>
      <x:c r="B5" s="16" t="str">
        <x:v>Pedido interno</x:v>
      </x:c>
      <x:c r="C5" s="16" t="str">
        <x:v>Classificação</x:v>
      </x:c>
      <x:c r="D5" s="16" t="str">
        <x:v>Data do pedido</x:v>
      </x:c>
      <x:c r="E5" s="16" t="str">
        <x:v>Status</x:v>
      </x:c>
      <x:c r="F5" s="16" t="str">
        <x:v>Pagamento</x:v>
      </x:c>
      <x:c r="G5" s="16" t="str">
        <x:v>Produto</x:v>
      </x:c>
      <x:c r="H5" s="16" t="str">
        <x:v>Valor bruto do item</x:v>
      </x:c>
      <x:c r="I5" s="16" t="str">
        <x:v>Líquido informado no arquivo</x:v>
      </x:c>
      <x:c r="J5" s="16" t="str">
        <x:v>Bruto confirmado</x:v>
      </x:c>
      <x:c r="K5" s="16" t="str">
        <x:v>Líquido confirmado</x:v>
      </x:c>
      <x:c r="L5" s="16" t="str">
        <x:v>Confirmação do pagamento</x:v>
      </x:c>
      <x:c r="M5" s="16" t="str">
        <x:v>Papel no pedido</x:v>
      </x:c>
    </x:row>
    <x:row r="6" ht="58" customHeight="1">
      <x:c r="A6" s="64" t="str">
        <x:v>T01</x:v>
      </x:c>
      <x:c r="B6" s="64" t="str">
        <x:v>P03</x:v>
      </x:c>
      <x:c r="C6" s="64" t="str">
        <x:v>Compradora B</x:v>
      </x:c>
      <x:c r="D6" s="65" t="n">
        <x:v>46075.74041666667</x:v>
      </x:c>
      <x:c r="E6" s="64" t="str">
        <x:v>Expirado</x:v>
      </x:c>
      <x:c r="F6" s="64" t="str">
        <x:v>Pix</x:v>
      </x:c>
      <x:c r="G6" s="64" t="str">
        <x:v>Receitas Simples de Chás com as Ervas do Jardim Vivo Essencial</x:v>
      </x:c>
      <x:c r="H6" s="66" t="n">
        <x:v>19.9</x:v>
      </x:c>
      <x:c r="I6" s="66" t="n">
        <x:v>16.93</x:v>
      </x:c>
      <x:c r="J6" s="66" t="n">
        <x:f>IF(E6="Completo",H6,0)</x:f>
        <x:v>0</x:v>
      </x:c>
      <x:c r="K6" s="66" t="n">
        <x:f>IF(E6="Completo",I6,0)</x:f>
        <x:v>0</x:v>
      </x:c>
      <x:c r="L6" s="65"/>
      <x:c r="M6" s="64" t="str">
        <x:v>Complemento (order bump)</x:v>
      </x:c>
    </x:row>
    <x:row r="7" ht="58" customHeight="1">
      <x:c r="A7" s="52" t="str">
        <x:v>T02</x:v>
      </x:c>
      <x:c r="B7" s="52" t="str">
        <x:v>P03</x:v>
      </x:c>
      <x:c r="C7" s="52" t="str">
        <x:v>Compradora B</x:v>
      </x:c>
      <x:c r="D7" s="53" t="n">
        <x:v>46075.74041666667</x:v>
      </x:c>
      <x:c r="E7" s="52" t="str">
        <x:v>Expirado</x:v>
      </x:c>
      <x:c r="F7" s="52" t="str">
        <x:v>Pix</x:v>
      </x:c>
      <x:c r="G7" s="52" t="str">
        <x:v>Guia Prático de Pragas em Hortas e Jardins Brasileiros</x:v>
      </x:c>
      <x:c r="H7" s="54" t="n">
        <x:v>19.9</x:v>
      </x:c>
      <x:c r="I7" s="54" t="n">
        <x:v>16.93</x:v>
      </x:c>
      <x:c r="J7" s="54" t="n">
        <x:f>IF(E7="Completo",H7,0)</x:f>
        <x:v>0</x:v>
      </x:c>
      <x:c r="K7" s="54" t="n">
        <x:f>IF(E7="Completo",I7,0)</x:f>
        <x:v>0</x:v>
      </x:c>
      <x:c r="L7" s="53"/>
      <x:c r="M7" s="52" t="str">
        <x:v>Complemento (order bump)</x:v>
      </x:c>
    </x:row>
    <x:row r="8" ht="58" customHeight="1">
      <x:c r="A8" s="64" t="str">
        <x:v>T03</x:v>
      </x:c>
      <x:c r="B8" s="64" t="str">
        <x:v>P03</x:v>
      </x:c>
      <x:c r="C8" s="64" t="str">
        <x:v>Compradora B</x:v>
      </x:c>
      <x:c r="D8" s="65" t="n">
        <x:v>46075.74041666667</x:v>
      </x:c>
      <x:c r="E8" s="64" t="str">
        <x:v>Expirado</x:v>
      </x:c>
      <x:c r="F8" s="64" t="str">
        <x:v>Pix</x:v>
      </x:c>
      <x:c r="G8" s="64" t="str">
        <x:v>Guia Rápido das 7 Ervas que Cuidam de Você (+ 3 BÔNUS EXCLUSIVOS INCLUSOS)</x:v>
      </x:c>
      <x:c r="H8" s="66" t="n">
        <x:v>47</x:v>
      </x:c>
      <x:c r="I8" s="66" t="n">
        <x:v>41.35</x:v>
      </x:c>
      <x:c r="J8" s="66" t="n">
        <x:f>IF(E8="Completo",H8,0)</x:f>
        <x:v>0</x:v>
      </x:c>
      <x:c r="K8" s="66" t="n">
        <x:f>IF(E8="Completo",I8,0)</x:f>
        <x:v>0</x:v>
      </x:c>
      <x:c r="L8" s="65"/>
      <x:c r="M8" s="64" t="str">
        <x:v>Principal</x:v>
      </x:c>
    </x:row>
    <x:row r="9" ht="58" customHeight="1">
      <x:c r="A9" s="52" t="str">
        <x:v>T04</x:v>
      </x:c>
      <x:c r="B9" s="52" t="str">
        <x:v>P02</x:v>
      </x:c>
      <x:c r="C9" s="52" t="str">
        <x:v>Compradora A</x:v>
      </x:c>
      <x:c r="D9" s="53" t="n">
        <x:v>46071.488020833334</x:v>
      </x:c>
      <x:c r="E9" s="52" t="str">
        <x:v>Completo</x:v>
      </x:c>
      <x:c r="F9" s="52" t="str">
        <x:v>Pix</x:v>
      </x:c>
      <x:c r="G9" s="52" t="str">
        <x:v>Guia Rápido das 7 Ervas que Cuidam de Você (+ 3 BÔNUS EXCLUSIVOS INCLUSOS)</x:v>
      </x:c>
      <x:c r="H9" s="54" t="n">
        <x:v>47</x:v>
      </x:c>
      <x:c r="I9" s="54" t="n">
        <x:v>41.35</x:v>
      </x:c>
      <x:c r="J9" s="54" t="n">
        <x:f>IF(E9="Completo",H9,0)</x:f>
        <x:v>47</x:v>
      </x:c>
      <x:c r="K9" s="54" t="n">
        <x:f>IF(E9="Completo",I9,0)</x:f>
        <x:v>41.35</x:v>
      </x:c>
      <x:c r="L9" s="53" t="n">
        <x:v>46071.49039351852</x:v>
      </x:c>
      <x:c r="M9" s="52" t="str">
        <x:v>Principal</x:v>
      </x:c>
    </x:row>
    <x:row r="10" ht="58" customHeight="1">
      <x:c r="A10" s="64" t="str">
        <x:v>T05</x:v>
      </x:c>
      <x:c r="B10" s="64" t="str">
        <x:v>P02</x:v>
      </x:c>
      <x:c r="C10" s="64" t="str">
        <x:v>Compradora A</x:v>
      </x:c>
      <x:c r="D10" s="65" t="n">
        <x:v>46071.488020833334</x:v>
      </x:c>
      <x:c r="E10" s="64" t="str">
        <x:v>Completo</x:v>
      </x:c>
      <x:c r="F10" s="64" t="str">
        <x:v>Pix</x:v>
      </x:c>
      <x:c r="G10" s="64" t="str">
        <x:v>Guia Prático de Pragas em Hortas e Jardins Brasileiros</x:v>
      </x:c>
      <x:c r="H10" s="66" t="n">
        <x:v>19.9</x:v>
      </x:c>
      <x:c r="I10" s="66" t="n">
        <x:v>16.93</x:v>
      </x:c>
      <x:c r="J10" s="66" t="n">
        <x:f>IF(E10="Completo",H10,0)</x:f>
        <x:v>19.9</x:v>
      </x:c>
      <x:c r="K10" s="66" t="n">
        <x:f>IF(E10="Completo",I10,0)</x:f>
        <x:v>16.93</x:v>
      </x:c>
      <x:c r="L10" s="65" t="n">
        <x:v>46071.49039351852</x:v>
      </x:c>
      <x:c r="M10" s="64" t="str">
        <x:v>Complemento (order bump)</x:v>
      </x:c>
    </x:row>
    <x:row r="11" ht="58" customHeight="1">
      <x:c r="A11" s="52" t="str">
        <x:v>T06</x:v>
      </x:c>
      <x:c r="B11" s="52" t="str">
        <x:v>P01</x:v>
      </x:c>
      <x:c r="C11" s="52" t="str">
        <x:v>Produtor</x:v>
      </x:c>
      <x:c r="D11" s="53" t="n">
        <x:v>46063.395891203705</x:v>
      </x:c>
      <x:c r="E11" s="52" t="str">
        <x:v>Completo</x:v>
      </x:c>
      <x:c r="F11" s="52" t="str">
        <x:v>Cartão de Crédito</x:v>
      </x:c>
      <x:c r="G11" s="52" t="str">
        <x:v>Receitas Simples de Chás com as Ervas do Jardim Vivo Essencial</x:v>
      </x:c>
      <x:c r="H11" s="54" t="n">
        <x:v>19.9</x:v>
      </x:c>
      <x:c r="I11" s="54" t="n">
        <x:v>16.93</x:v>
      </x:c>
      <x:c r="J11" s="54" t="n">
        <x:f>IF(E11="Completo",H11,0)</x:f>
        <x:v>19.9</x:v>
      </x:c>
      <x:c r="K11" s="54" t="n">
        <x:f>IF(E11="Completo",I11,0)</x:f>
        <x:v>16.93</x:v>
      </x:c>
      <x:c r="L11" s="53" t="n">
        <x:v>46063.39592592593</x:v>
      </x:c>
      <x:c r="M11" s="52" t="str">
        <x:v>Complemento (order bump)</x:v>
      </x:c>
    </x:row>
    <x:row r="12" ht="58" customHeight="1">
      <x:c r="A12" s="64" t="str">
        <x:v>T07</x:v>
      </x:c>
      <x:c r="B12" s="64" t="str">
        <x:v>P01</x:v>
      </x:c>
      <x:c r="C12" s="64" t="str">
        <x:v>Produtor</x:v>
      </x:c>
      <x:c r="D12" s="65" t="n">
        <x:v>46063.395833333336</x:v>
      </x:c>
      <x:c r="E12" s="64" t="str">
        <x:v>Completo</x:v>
      </x:c>
      <x:c r="F12" s="64" t="str">
        <x:v>Cartão de Crédito</x:v>
      </x:c>
      <x:c r="G12" s="64" t="str">
        <x:v>Guia Prático de Pragas em Hortas e Jardins Brasileiros</x:v>
      </x:c>
      <x:c r="H12" s="66" t="n">
        <x:v>19.9</x:v>
      </x:c>
      <x:c r="I12" s="66" t="n">
        <x:v>16.93</x:v>
      </x:c>
      <x:c r="J12" s="66" t="n">
        <x:f>IF(E12="Completo",H12,0)</x:f>
        <x:v>19.9</x:v>
      </x:c>
      <x:c r="K12" s="66" t="n">
        <x:f>IF(E12="Completo",I12,0)</x:f>
        <x:v>16.93</x:v>
      </x:c>
      <x:c r="L12" s="65" t="n">
        <x:v>46063.39587962963</x:v>
      </x:c>
      <x:c r="M12" s="64" t="str">
        <x:v>Complemento (order bump)</x:v>
      </x:c>
    </x:row>
    <x:row r="13" ht="58" customHeight="1">
      <x:c r="A13" s="52" t="str">
        <x:v>T08</x:v>
      </x:c>
      <x:c r="B13" s="52" t="str">
        <x:v>P01</x:v>
      </x:c>
      <x:c r="C13" s="52" t="str">
        <x:v>Produtor</x:v>
      </x:c>
      <x:c r="D13" s="53" t="n">
        <x:v>46063.39577546297</x:v>
      </x:c>
      <x:c r="E13" s="52" t="str">
        <x:v>Completo</x:v>
      </x:c>
      <x:c r="F13" s="52" t="str">
        <x:v>Cartão de Crédito</x:v>
      </x:c>
      <x:c r="G13" s="52" t="str">
        <x:v>Guia Rápido das 7 Ervas que Cuidam de Você (+ 3 BÔNUS EXCLUSIVOS INCLUSOS)</x:v>
      </x:c>
      <x:c r="H13" s="54" t="n">
        <x:v>47</x:v>
      </x:c>
      <x:c r="I13" s="54" t="n">
        <x:v>41.35</x:v>
      </x:c>
      <x:c r="J13" s="54" t="n">
        <x:f>IF(E13="Completo",H13,0)</x:f>
        <x:v>47</x:v>
      </x:c>
      <x:c r="K13" s="54" t="n">
        <x:f>IF(E13="Completo",I13,0)</x:f>
        <x:v>41.35</x:v>
      </x:c>
      <x:c r="L13" s="53" t="n">
        <x:v>46063.39581018518</x:v>
      </x:c>
      <x:c r="M13" s="52" t="str">
        <x:v>Principal</x:v>
      </x:c>
    </x:row>
    <x:row r="15" ht="25" customHeight="1">
      <x:c r="A15" s="9" t="str">
        <x:v>ATENÇÃO: o arquivo original informa valores líquidos também para itens expirados. Esses valores NÃO foram tratados como receita recebida. As colunas J e K somam apenas status Completo.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 ht="25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</x:sheetData>
  <x:mergeCells>
    <x:mergeCell ref="A1:M2"/>
    <x:mergeCell ref="A3:M3"/>
    <x:mergeCell ref="A15:M16"/>
  </x:mergeCells>
  <x:pageMargins left="0.7" right="0.7" top="0.75" bottom="0.75" header="0.3" footer="0.3"/>
  <x:tableParts count="1">
    <x:tablePart xmlns:r="http://schemas.openxmlformats.org/officeDocument/2006/relationships" r:id="Rebddb36cf77e4a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4" t="str">
        <x:v>Notas de leitura e fontes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33" customHeight="1">
      <x:c r="A3" s="10" t="str">
        <x:v>Documento de apoio ao briefing | dados consultados em 28/09/2026</x:v>
      </x:c>
      <x:c r="B3" s="10"/>
      <x:c r="C3" s="10"/>
      <x:c r="D3" s="10"/>
      <x:c r="E3" s="10"/>
      <x:c r="F3" s="10"/>
    </x:row>
    <x:row r="5" ht="46" customHeight="1">
      <x:c r="A5" s="72" t="str">
        <x:v>Uso: apoio à reformulação do Jardim Vivo Essencial pela Vocação Digital. Base de referência em 28/09/2026.</x:v>
      </x:c>
      <x:c r="B5" s="72"/>
      <x:c r="C5" s="72"/>
      <x:c r="D5" s="72"/>
      <x:c r="E5" s="72"/>
      <x:c r="F5" s="72"/>
    </x:row>
    <x:row r="6" ht="46" customHeight="1">
      <x:c r="A6" s="78" t="str">
        <x:v>Fonte principal: sales_history_20260928195016_8891499B17116244591799260923.xls | aba Report | 8 linhas de transação.</x:v>
      </x:c>
      <x:c r="B6" s="78"/>
      <x:c r="C6" s="78"/>
      <x:c r="D6" s="78"/>
      <x:c r="E6" s="78"/>
      <x:c r="F6" s="78"/>
    </x:row>
    <x:row r="7" ht="46" customHeight="1">
      <x:c r="A7" s="72" t="str">
        <x:v>As 3 transações em nome do produtor não são evidência de aquisição de clientes. O arquivo não classifica formalmente as compras como testes.</x:v>
      </x:c>
      <x:c r="B7" s="72"/>
      <x:c r="C7" s="72"/>
      <x:c r="D7" s="72"/>
      <x:c r="E7" s="72"/>
      <x:c r="F7" s="72"/>
    </x:row>
    <x:row r="8" ht="46" customHeight="1">
      <x:c r="A8" s="78" t="str">
        <x:v>P01, P02 e P03 são identificadores internos deste material. Os códigos originais de transação foram retirados.</x:v>
      </x:c>
      <x:c r="B8" s="78"/>
      <x:c r="C8" s="78"/>
      <x:c r="D8" s="78"/>
      <x:c r="E8" s="78"/>
      <x:c r="F8" s="78"/>
    </x:row>
    <x:row r="9" ht="46" customHeight="1">
      <x:c r="A9" s="72" t="str">
        <x:v>Compradora A e Compradora B representam cadastros diferentes. Nomes, e-mails, telefones, documentos e endereços não fazem parte desta planilha.</x:v>
      </x:c>
      <x:c r="B9" s="72"/>
      <x:c r="C9" s="72"/>
      <x:c r="D9" s="72"/>
      <x:c r="E9" s="72"/>
      <x:c r="F9" s="72"/>
    </x:row>
    <x:row r="10" ht="46" customHeight="1">
      <x:c r="A10" s="78" t="str">
        <x:v>O registro de abandono consultado para o produto principal tem o mesmo cadastro do pedido P02, com confirmação de pagamento posterior. Não implica recuperação por campanha.</x:v>
      </x:c>
      <x:c r="B10" s="78"/>
      <x:c r="C10" s="78"/>
      <x:c r="D10" s="78"/>
      <x:c r="E10" s="78"/>
      <x:c r="F10" s="78"/>
    </x:row>
    <x:row r="11" ht="46" customHeight="1">
      <x:c r="A11" s="72" t="str">
        <x:v>A consulta de abandono foi filtrada para o Guia das 7 Ervas nos últimos 24 meses. Não equivale a uma consulta conjunta dos três produtos.</x:v>
      </x:c>
      <x:c r="B11" s="72"/>
      <x:c r="C11" s="72"/>
      <x:c r="D11" s="72"/>
      <x:c r="E11" s="72"/>
      <x:c r="F11" s="72"/>
    </x:row>
    <x:row r="12" ht="46" customHeight="1">
      <x:c r="A12" s="78" t="str">
        <x:v>Nenhum boleto ou pagamento em aberto consta no arquivo recebido. Não é uma declaração sobre registros eventualmente fora da exportação.</x:v>
      </x:c>
      <x:c r="B12" s="78"/>
      <x:c r="C12" s="78"/>
      <x:c r="D12" s="78"/>
      <x:c r="E12" s="78"/>
      <x:c r="F12" s="78"/>
    </x:row>
    <x:row r="13" ht="46" customHeight="1">
      <x:c r="A13" s="72" t="str">
        <x:v>Valores em reais. Os valores brutos confirmados incluem compras do produtor quando explicitamente indicado. Expirados não integram a receita confirmada.</x:v>
      </x:c>
      <x:c r="B13" s="72"/>
      <x:c r="C13" s="72"/>
      <x:c r="D13" s="72"/>
      <x:c r="E13" s="72"/>
      <x:c r="F13" s="72"/>
    </x:row>
    <x:row r="14" ht="46" customHeight="1">
      <x:c r="A14" s="78" t="str">
        <x:v>Comprovação visual: anexo 04, prints Hotmart. O primeiro print de vendas tem apenas 5 transações completas; a exportação posterior contém também as 3 expiradas.</x:v>
      </x:c>
      <x:c r="B14" s="78"/>
      <x:c r="C14" s="78"/>
      <x:c r="D14" s="78"/>
      <x:c r="E14" s="78"/>
      <x:c r="F14" s="78"/>
    </x:row>
  </x:sheetData>
  <x:mergeCells>
    <x:mergeCell ref="A1:F2"/>
    <x:mergeCell ref="A3:F3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</x:worksheet>
</file>